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e36b24e40f5d304d/Documentos/excel/"/>
    </mc:Choice>
  </mc:AlternateContent>
  <xr:revisionPtr revIDLastSave="0" documentId="8_{4367BFBE-2FDF-4C81-A3B4-B5608FFBA1E5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rincipal" sheetId="4" r:id="rId1"/>
    <sheet name="Planilha1" sheetId="6" r:id="rId2"/>
    <sheet name="Vendedores" sheetId="3" r:id="rId3"/>
    <sheet name="Multimarcas" sheetId="2" r:id="rId4"/>
    <sheet name="Alimentos" sheetId="1" r:id="rId5"/>
    <sheet name="Modelo" sheetId="5" r:id="rId6"/>
  </sheets>
  <externalReferences>
    <externalReference r:id="rId7"/>
  </externalReferences>
  <definedNames>
    <definedName name="loja">Multimarcas!$C$4:$C$17</definedName>
    <definedName name="marca">Multimarcas!$B$4:$B$17</definedName>
    <definedName name="marca2">[1]Planilha1!$C$1:$C$10</definedName>
    <definedName name="preco2">[1]Planilha1!$D$1:$D$10</definedName>
    <definedName name="prod">Multimarcas!$E$20</definedName>
    <definedName name="produto">Multimarcas!$A$4:$A$17</definedName>
    <definedName name="produto2">[1]Planilha1!$A$1:$A$10</definedName>
    <definedName name="unidade">[1]Planilha1!$B$1:$B$10</definedName>
    <definedName name="valor">Multimarcas!$E$4:$E$17</definedName>
    <definedName name="vendedor">Multimarcas!$D$4:$D$17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6" l="1"/>
  <c r="E1" i="4"/>
  <c r="E1" i="5"/>
  <c r="H8" i="3"/>
  <c r="F8" i="3"/>
  <c r="D8" i="3"/>
  <c r="B8" i="3"/>
  <c r="M7" i="3"/>
  <c r="L7" i="3"/>
  <c r="K7" i="3"/>
  <c r="J7" i="3"/>
  <c r="O7" i="3" s="1"/>
  <c r="I7" i="3"/>
  <c r="G7" i="3"/>
  <c r="E7" i="3"/>
  <c r="C7" i="3"/>
  <c r="N7" i="3" s="1"/>
  <c r="M6" i="3"/>
  <c r="L6" i="3"/>
  <c r="K6" i="3"/>
  <c r="J6" i="3"/>
  <c r="O6" i="3" s="1"/>
  <c r="I6" i="3"/>
  <c r="G6" i="3"/>
  <c r="E6" i="3"/>
  <c r="C6" i="3"/>
  <c r="N6" i="3" s="1"/>
  <c r="M5" i="3"/>
  <c r="L5" i="3"/>
  <c r="K5" i="3"/>
  <c r="J5" i="3"/>
  <c r="O5" i="3" s="1"/>
  <c r="I5" i="3"/>
  <c r="G5" i="3"/>
  <c r="E5" i="3"/>
  <c r="C5" i="3"/>
  <c r="N5" i="3" s="1"/>
  <c r="M4" i="3"/>
  <c r="L4" i="3"/>
  <c r="K4" i="3"/>
  <c r="J4" i="3"/>
  <c r="O4" i="3" s="1"/>
  <c r="I4" i="3"/>
  <c r="G4" i="3"/>
  <c r="E4" i="3"/>
  <c r="C4" i="3"/>
  <c r="N4" i="3" s="1"/>
  <c r="M3" i="3"/>
  <c r="L3" i="3"/>
  <c r="K3" i="3"/>
  <c r="J3" i="3"/>
  <c r="O3" i="3" s="1"/>
  <c r="O8" i="3" s="1"/>
  <c r="I3" i="3"/>
  <c r="G3" i="3"/>
  <c r="G8" i="3" s="1"/>
  <c r="E3" i="3"/>
  <c r="E8" i="3" s="1"/>
  <c r="C3" i="3"/>
  <c r="C8" i="3" s="1"/>
  <c r="I8" i="3" l="1"/>
  <c r="N3" i="3"/>
  <c r="N8" i="3" s="1"/>
  <c r="J8" i="3"/>
  <c r="B1" i="2" l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B2" i="1"/>
</calcChain>
</file>

<file path=xl/sharedStrings.xml><?xml version="1.0" encoding="utf-8"?>
<sst xmlns="http://schemas.openxmlformats.org/spreadsheetml/2006/main" count="158" uniqueCount="83">
  <si>
    <t>Controle de Estoque - Rede Mais Compras</t>
  </si>
  <si>
    <t>Data:</t>
  </si>
  <si>
    <t>Produto</t>
  </si>
  <si>
    <t>Unidade</t>
  </si>
  <si>
    <t>validade</t>
  </si>
  <si>
    <t>Preço</t>
  </si>
  <si>
    <t>Quantidade</t>
  </si>
  <si>
    <t>Fornecedor</t>
  </si>
  <si>
    <t>Total</t>
  </si>
  <si>
    <t>coca cola 350ml</t>
  </si>
  <si>
    <t>lata</t>
  </si>
  <si>
    <t>coca cola company</t>
  </si>
  <si>
    <t>arroz tio joão</t>
  </si>
  <si>
    <t>1kg</t>
  </si>
  <si>
    <t>Alimentos abc paulista</t>
  </si>
  <si>
    <t>feijão máximo</t>
  </si>
  <si>
    <t>açúcar neve</t>
  </si>
  <si>
    <t>Distribuidora max alimentos</t>
  </si>
  <si>
    <t>açúcar caravelas</t>
  </si>
  <si>
    <t>arroz máximo</t>
  </si>
  <si>
    <t>arroz camil</t>
  </si>
  <si>
    <t xml:space="preserve">arroz camil </t>
  </si>
  <si>
    <t>5kg</t>
  </si>
  <si>
    <t>óleo liza</t>
  </si>
  <si>
    <t>1lt</t>
  </si>
  <si>
    <t>óleo soya</t>
  </si>
  <si>
    <t>óleo sinhá</t>
  </si>
  <si>
    <t>coca cola 250ml</t>
  </si>
  <si>
    <t>milho verde</t>
  </si>
  <si>
    <t>bungee alimentos</t>
  </si>
  <si>
    <t xml:space="preserve">ervilha </t>
  </si>
  <si>
    <t>margarina delicia 500</t>
  </si>
  <si>
    <t>pote</t>
  </si>
  <si>
    <t>margarina claybon 500</t>
  </si>
  <si>
    <t>coca cola pet 2 litros</t>
  </si>
  <si>
    <t>litro</t>
  </si>
  <si>
    <t>DATA</t>
  </si>
  <si>
    <t>Controle de Vendas / Produtos</t>
  </si>
  <si>
    <t>marca</t>
  </si>
  <si>
    <t>Loja</t>
  </si>
  <si>
    <t>Vendedor</t>
  </si>
  <si>
    <t>Valor vendido</t>
  </si>
  <si>
    <t>Preço Novo</t>
  </si>
  <si>
    <t>camiseta branca</t>
  </si>
  <si>
    <t>oakley</t>
  </si>
  <si>
    <t>Caxias</t>
  </si>
  <si>
    <t>vendedor1</t>
  </si>
  <si>
    <t>camiseta preta</t>
  </si>
  <si>
    <t>adidas</t>
  </si>
  <si>
    <t>vendedor2</t>
  </si>
  <si>
    <t>bermuda preta</t>
  </si>
  <si>
    <t>campo grande</t>
  </si>
  <si>
    <t>bermuda branca</t>
  </si>
  <si>
    <t>bermuda jeans</t>
  </si>
  <si>
    <t>jaqueta preta</t>
  </si>
  <si>
    <t>nike</t>
  </si>
  <si>
    <t>jaqueta branca</t>
  </si>
  <si>
    <t>jaqueta jeans</t>
  </si>
  <si>
    <t>chinelo preto</t>
  </si>
  <si>
    <t>Nilópolis</t>
  </si>
  <si>
    <t>chinelo branco</t>
  </si>
  <si>
    <t xml:space="preserve">camiseta branca </t>
  </si>
  <si>
    <t>Controle de Vendas e Comissões</t>
  </si>
  <si>
    <t>Vendedores</t>
  </si>
  <si>
    <t>Janeiro</t>
  </si>
  <si>
    <t>Comissão</t>
  </si>
  <si>
    <t>Fevereiro</t>
  </si>
  <si>
    <t>Março</t>
  </si>
  <si>
    <t>Abril</t>
  </si>
  <si>
    <t>Total de Vendas</t>
  </si>
  <si>
    <t>Média de Vendas</t>
  </si>
  <si>
    <t>Maior Venda</t>
  </si>
  <si>
    <t>Menor Venda</t>
  </si>
  <si>
    <t>Total de Comissões</t>
  </si>
  <si>
    <t xml:space="preserve">Prêmio </t>
  </si>
  <si>
    <t>Marcos Alexandre</t>
  </si>
  <si>
    <t>Maria Antônia</t>
  </si>
  <si>
    <t>Camila Passos</t>
  </si>
  <si>
    <t>Lucas Silva</t>
  </si>
  <si>
    <t>Ronaldo Oliveira</t>
  </si>
  <si>
    <t xml:space="preserve">Totais </t>
  </si>
  <si>
    <t>########</t>
  </si>
  <si>
    <t>Rio Distribuidora e Varejo Variados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</si>
</sst>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Arial Black"/>
      <family val="2"/>
    </font>
    <font>
      <sz val="14"/>
      <color theme="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ck">
        <color theme="4" tint="-0.499984740745262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thick">
        <color theme="4" tint="-0.499984740745262"/>
      </right>
      <top style="thick">
        <color theme="4" tint="-0.499984740745262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1" fillId="2" borderId="1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</cellStyleXfs>
  <cellXfs count="35">
    <xf numFmtId="0" fontId="0" fillId="0" borderId="0" xfId="0"/>
    <xf numFmtId="44" fontId="0" fillId="0" borderId="0" xfId="1" applyFont="1"/>
    <xf numFmtId="14" fontId="0" fillId="0" borderId="0" xfId="0" applyNumberFormat="1"/>
    <xf numFmtId="0" fontId="2" fillId="0" borderId="0" xfId="0" applyFont="1"/>
    <xf numFmtId="44" fontId="0" fillId="0" borderId="0" xfId="0" applyNumberFormat="1"/>
    <xf numFmtId="0" fontId="0" fillId="2" borderId="1" xfId="2" applyFont="1"/>
    <xf numFmtId="44" fontId="0" fillId="2" borderId="1" xfId="1" applyFont="1" applyFill="1" applyBorder="1"/>
    <xf numFmtId="0" fontId="0" fillId="2" borderId="2" xfId="2" applyFont="1" applyBorder="1"/>
    <xf numFmtId="0" fontId="0" fillId="2" borderId="0" xfId="2" applyFont="1" applyBorder="1"/>
    <xf numFmtId="0" fontId="0" fillId="2" borderId="0" xfId="2" applyFont="1" applyBorder="1" applyAlignment="1">
      <alignment vertical="top" wrapText="1"/>
    </xf>
    <xf numFmtId="0" fontId="0" fillId="0" borderId="0" xfId="0" applyAlignment="1">
      <alignment vertical="top" wrapText="1"/>
    </xf>
    <xf numFmtId="44" fontId="0" fillId="0" borderId="0" xfId="0" applyNumberFormat="1" applyAlignment="1">
      <alignment vertical="center"/>
    </xf>
    <xf numFmtId="0" fontId="0" fillId="7" borderId="6" xfId="0" applyFill="1" applyBorder="1"/>
    <xf numFmtId="0" fontId="0" fillId="8" borderId="7" xfId="0" applyFill="1" applyBorder="1"/>
    <xf numFmtId="44" fontId="0" fillId="8" borderId="8" xfId="1" applyFont="1" applyFill="1" applyBorder="1"/>
    <xf numFmtId="44" fontId="0" fillId="8" borderId="8" xfId="0" applyNumberFormat="1" applyFill="1" applyBorder="1"/>
    <xf numFmtId="44" fontId="0" fillId="8" borderId="9" xfId="1" applyFont="1" applyFill="1" applyBorder="1"/>
    <xf numFmtId="0" fontId="0" fillId="8" borderId="10" xfId="0" applyFill="1" applyBorder="1"/>
    <xf numFmtId="44" fontId="0" fillId="8" borderId="0" xfId="1" applyFont="1" applyFill="1" applyBorder="1"/>
    <xf numFmtId="0" fontId="0" fillId="8" borderId="11" xfId="0" applyFill="1" applyBorder="1" applyAlignment="1">
      <alignment horizontal="center"/>
    </xf>
    <xf numFmtId="44" fontId="0" fillId="8" borderId="12" xfId="1" applyFont="1" applyFill="1" applyBorder="1"/>
    <xf numFmtId="0" fontId="0" fillId="8" borderId="12" xfId="0" applyFill="1" applyBorder="1"/>
    <xf numFmtId="44" fontId="0" fillId="8" borderId="12" xfId="0" applyNumberFormat="1" applyFill="1" applyBorder="1"/>
    <xf numFmtId="44" fontId="0" fillId="8" borderId="13" xfId="1" applyFont="1" applyFill="1" applyBorder="1"/>
    <xf numFmtId="14" fontId="4" fillId="3" borderId="0" xfId="3" applyNumberFormat="1" applyFont="1"/>
    <xf numFmtId="0" fontId="4" fillId="0" borderId="0" xfId="0" applyFont="1"/>
    <xf numFmtId="0" fontId="4" fillId="4" borderId="0" xfId="4" applyFont="1"/>
    <xf numFmtId="0" fontId="4" fillId="3" borderId="0" xfId="3" applyFont="1" applyAlignment="1">
      <alignment horizontal="center"/>
    </xf>
    <xf numFmtId="0" fontId="5" fillId="5" borderId="0" xfId="5" applyFont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2" borderId="1" xfId="2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6">
    <cellStyle name="20% - Ênfase5" xfId="3" builtinId="46"/>
    <cellStyle name="40% - Ênfase5" xfId="4" builtinId="47"/>
    <cellStyle name="60% - Ênfase5" xfId="5" builtinId="48"/>
    <cellStyle name="Moeda" xfId="1" builtinId="4"/>
    <cellStyle name="Normal" xfId="0" builtinId="0"/>
    <cellStyle name="Nota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google.com" TargetMode="External"/><Relationship Id="rId1" Type="http://schemas.openxmlformats.org/officeDocument/2006/relationships/hyperlink" Target="#Multimarc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2</xdr:row>
      <xdr:rowOff>219075</xdr:rowOff>
    </xdr:from>
    <xdr:to>
      <xdr:col>4</xdr:col>
      <xdr:colOff>19050</xdr:colOff>
      <xdr:row>4</xdr:row>
      <xdr:rowOff>66675</xdr:rowOff>
    </xdr:to>
    <xdr:sp macro="[0]!forma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5" y="790575"/>
          <a:ext cx="239077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>
              <a:latin typeface="Arial Black" panose="020B0A04020102020204" pitchFamily="34" charset="0"/>
            </a:rPr>
            <a:t>Criar Planilha</a:t>
          </a:r>
          <a:r>
            <a:rPr lang="pt-BR" sz="1400" baseline="0">
              <a:latin typeface="Arial Black" panose="020B0A04020102020204" pitchFamily="34" charset="0"/>
            </a:rPr>
            <a:t> Padrão</a:t>
          </a:r>
          <a:endParaRPr lang="pt-BR" sz="14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4</xdr:col>
      <xdr:colOff>381000</xdr:colOff>
      <xdr:row>2</xdr:row>
      <xdr:rowOff>238125</xdr:rowOff>
    </xdr:from>
    <xdr:to>
      <xdr:col>7</xdr:col>
      <xdr:colOff>47625</xdr:colOff>
      <xdr:row>4</xdr:row>
      <xdr:rowOff>95250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19400" y="809625"/>
          <a:ext cx="20955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>
              <a:latin typeface="Arial Black" panose="020B0A04020102020204" pitchFamily="34" charset="0"/>
            </a:rPr>
            <a:t>Loja Multimarcas</a:t>
          </a:r>
        </a:p>
      </xdr:txBody>
    </xdr:sp>
    <xdr:clientData/>
  </xdr:twoCellAnchor>
  <xdr:twoCellAnchor>
    <xdr:from>
      <xdr:col>0</xdr:col>
      <xdr:colOff>114300</xdr:colOff>
      <xdr:row>6</xdr:row>
      <xdr:rowOff>28575</xdr:rowOff>
    </xdr:from>
    <xdr:to>
      <xdr:col>4</xdr:col>
      <xdr:colOff>19050</xdr:colOff>
      <xdr:row>7</xdr:row>
      <xdr:rowOff>180975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300" y="1743075"/>
          <a:ext cx="234315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>
              <a:latin typeface="Arial Black" panose="020B0A04020102020204" pitchFamily="34" charset="0"/>
            </a:rPr>
            <a:t>Site da Loja</a:t>
          </a:r>
        </a:p>
      </xdr:txBody>
    </xdr:sp>
    <xdr:clientData/>
  </xdr:twoCellAnchor>
  <xdr:twoCellAnchor>
    <xdr:from>
      <xdr:col>5</xdr:col>
      <xdr:colOff>571500</xdr:colOff>
      <xdr:row>6</xdr:row>
      <xdr:rowOff>0</xdr:rowOff>
    </xdr:from>
    <xdr:to>
      <xdr:col>8</xdr:col>
      <xdr:colOff>504825</xdr:colOff>
      <xdr:row>7</xdr:row>
      <xdr:rowOff>219075</xdr:rowOff>
    </xdr:to>
    <xdr:sp macro="[0]!formulario1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19575" y="1714500"/>
          <a:ext cx="1762125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g3\Documents\excel_s&#225;bado\EXERCICIO11106%20(1nov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lha2"/>
      <sheetName val="Planilha1"/>
    </sheetNames>
    <sheetDataSet>
      <sheetData sheetId="0"/>
      <sheetData sheetId="1">
        <row r="1">
          <cell r="A1" t="str">
            <v>produto</v>
          </cell>
          <cell r="B1" t="str">
            <v>unidade</v>
          </cell>
          <cell r="C1" t="str">
            <v>marca</v>
          </cell>
          <cell r="D1" t="str">
            <v>preço</v>
          </cell>
        </row>
        <row r="2">
          <cell r="A2" t="str">
            <v>arroz</v>
          </cell>
          <cell r="B2" t="str">
            <v>5kg</v>
          </cell>
          <cell r="C2" t="str">
            <v>camil</v>
          </cell>
          <cell r="D2">
            <v>23</v>
          </cell>
        </row>
        <row r="3">
          <cell r="A3" t="str">
            <v>feijão</v>
          </cell>
          <cell r="B3" t="str">
            <v>1kg</v>
          </cell>
          <cell r="C3" t="str">
            <v>máximo</v>
          </cell>
          <cell r="D3">
            <v>7</v>
          </cell>
        </row>
        <row r="4">
          <cell r="A4" t="str">
            <v>óleo</v>
          </cell>
          <cell r="B4" t="str">
            <v>1litro</v>
          </cell>
          <cell r="C4" t="str">
            <v>liza</v>
          </cell>
          <cell r="D4">
            <v>9</v>
          </cell>
        </row>
        <row r="5">
          <cell r="A5" t="str">
            <v>açúcar</v>
          </cell>
          <cell r="B5" t="str">
            <v>1kg</v>
          </cell>
          <cell r="C5" t="str">
            <v>união</v>
          </cell>
          <cell r="D5">
            <v>4</v>
          </cell>
        </row>
        <row r="6">
          <cell r="A6" t="str">
            <v>arroz</v>
          </cell>
          <cell r="B6" t="str">
            <v>5kg</v>
          </cell>
          <cell r="C6" t="str">
            <v>tio joão</v>
          </cell>
          <cell r="D6">
            <v>27</v>
          </cell>
        </row>
        <row r="7">
          <cell r="A7" t="str">
            <v>óleo</v>
          </cell>
          <cell r="B7" t="str">
            <v>1litro</v>
          </cell>
          <cell r="C7" t="str">
            <v>soya</v>
          </cell>
          <cell r="D7">
            <v>8</v>
          </cell>
        </row>
        <row r="8">
          <cell r="A8" t="str">
            <v>arroz</v>
          </cell>
          <cell r="B8" t="str">
            <v>1kg</v>
          </cell>
          <cell r="C8" t="str">
            <v>camil</v>
          </cell>
          <cell r="D8">
            <v>3.9</v>
          </cell>
        </row>
        <row r="9">
          <cell r="A9" t="str">
            <v>maionese</v>
          </cell>
          <cell r="B9" t="str">
            <v>500gr</v>
          </cell>
          <cell r="C9" t="str">
            <v>liza</v>
          </cell>
          <cell r="D9">
            <v>6</v>
          </cell>
        </row>
        <row r="10">
          <cell r="A10" t="str">
            <v xml:space="preserve">açúcar </v>
          </cell>
          <cell r="B10" t="str">
            <v>5kg</v>
          </cell>
          <cell r="C10" t="str">
            <v>caravelas</v>
          </cell>
          <cell r="D10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60"/>
  <sheetViews>
    <sheetView workbookViewId="0">
      <selection activeCell="G13" sqref="G13"/>
    </sheetView>
  </sheetViews>
  <sheetFormatPr defaultRowHeight="15" x14ac:dyDescent="0.25"/>
  <cols>
    <col min="5" max="5" width="18.140625" bestFit="1" customWidth="1"/>
  </cols>
  <sheetData>
    <row r="1" spans="1:15" ht="22.5" x14ac:dyDescent="0.45">
      <c r="A1" s="27" t="s">
        <v>1</v>
      </c>
      <c r="B1" s="27"/>
      <c r="C1" s="27"/>
      <c r="D1" s="27"/>
      <c r="E1" s="24">
        <f ca="1">TODAY()</f>
        <v>45255</v>
      </c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1:15" ht="22.5" x14ac:dyDescent="0.45">
      <c r="A2" s="28" t="s">
        <v>82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</row>
    <row r="3" spans="1:15" ht="22.5" x14ac:dyDescent="0.4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</row>
    <row r="4" spans="1:15" ht="22.5" x14ac:dyDescent="0.4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</row>
    <row r="5" spans="1:15" ht="22.5" x14ac:dyDescent="0.4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</row>
    <row r="6" spans="1:15" ht="22.5" x14ac:dyDescent="0.4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</row>
    <row r="7" spans="1:15" ht="22.5" x14ac:dyDescent="0.4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</row>
    <row r="8" spans="1:15" ht="22.5" x14ac:dyDescent="0.4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</row>
    <row r="9" spans="1:15" ht="22.5" x14ac:dyDescent="0.4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</row>
    <row r="10" spans="1:15" ht="22.5" x14ac:dyDescent="0.4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</row>
    <row r="11" spans="1:15" ht="22.5" x14ac:dyDescent="0.4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</row>
    <row r="12" spans="1:15" ht="22.5" x14ac:dyDescent="0.4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</row>
    <row r="13" spans="1:15" ht="22.5" x14ac:dyDescent="0.4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</row>
    <row r="14" spans="1:15" ht="22.5" x14ac:dyDescent="0.4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</row>
    <row r="15" spans="1:15" ht="22.5" x14ac:dyDescent="0.4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15" ht="22.5" x14ac:dyDescent="0.4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1:15" ht="22.5" x14ac:dyDescent="0.4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1:15" ht="22.5" x14ac:dyDescent="0.4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1:15" ht="22.5" x14ac:dyDescent="0.4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</row>
    <row r="20" spans="1:15" ht="22.5" x14ac:dyDescent="0.4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</row>
    <row r="21" spans="1:15" ht="22.5" x14ac:dyDescent="0.4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1:15" ht="22.5" x14ac:dyDescent="0.4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1:15" ht="22.5" x14ac:dyDescent="0.4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1:15" ht="22.5" x14ac:dyDescent="0.4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1:15" ht="22.5" x14ac:dyDescent="0.4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6" spans="1:15" ht="22.5" x14ac:dyDescent="0.4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</row>
    <row r="27" spans="1:15" ht="22.5" x14ac:dyDescent="0.4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</row>
    <row r="28" spans="1:15" ht="22.5" x14ac:dyDescent="0.4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</row>
    <row r="29" spans="1:15" ht="22.5" x14ac:dyDescent="0.4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</row>
    <row r="30" spans="1:15" ht="22.5" x14ac:dyDescent="0.4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1:15" ht="22.5" x14ac:dyDescent="0.4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</row>
    <row r="32" spans="1:15" ht="22.5" x14ac:dyDescent="0.4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</row>
    <row r="33" spans="1:15" ht="22.5" x14ac:dyDescent="0.4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</row>
    <row r="34" spans="1:15" ht="22.5" x14ac:dyDescent="0.4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</row>
    <row r="35" spans="1:15" ht="22.5" x14ac:dyDescent="0.4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</row>
    <row r="36" spans="1:15" ht="22.5" x14ac:dyDescent="0.4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</row>
    <row r="37" spans="1:15" ht="22.5" x14ac:dyDescent="0.4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</row>
    <row r="38" spans="1:15" ht="22.5" x14ac:dyDescent="0.4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</row>
    <row r="39" spans="1:15" ht="22.5" x14ac:dyDescent="0.4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</row>
    <row r="40" spans="1:15" ht="22.5" x14ac:dyDescent="0.4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</row>
    <row r="41" spans="1:15" ht="22.5" x14ac:dyDescent="0.4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</row>
    <row r="42" spans="1:15" ht="22.5" x14ac:dyDescent="0.4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</row>
    <row r="43" spans="1:15" ht="22.5" x14ac:dyDescent="0.4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</row>
    <row r="44" spans="1:15" ht="22.5" x14ac:dyDescent="0.4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</row>
    <row r="45" spans="1:15" ht="22.5" x14ac:dyDescent="0.4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</row>
    <row r="46" spans="1:15" ht="22.5" x14ac:dyDescent="0.4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</row>
    <row r="47" spans="1:15" ht="22.5" x14ac:dyDescent="0.4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</row>
    <row r="48" spans="1:15" ht="22.5" x14ac:dyDescent="0.4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</row>
    <row r="49" spans="1:15" ht="22.5" x14ac:dyDescent="0.4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</row>
    <row r="50" spans="1:15" ht="22.5" x14ac:dyDescent="0.4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</row>
    <row r="51" spans="1:15" ht="22.5" x14ac:dyDescent="0.4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</row>
    <row r="52" spans="1:15" ht="22.5" x14ac:dyDescent="0.4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</row>
    <row r="53" spans="1:15" ht="22.5" x14ac:dyDescent="0.4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</row>
    <row r="54" spans="1:15" ht="22.5" x14ac:dyDescent="0.4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</row>
    <row r="55" spans="1:15" ht="22.5" x14ac:dyDescent="0.4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1:15" ht="22.5" x14ac:dyDescent="0.4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</row>
    <row r="57" spans="1:15" ht="22.5" x14ac:dyDescent="0.4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</row>
    <row r="58" spans="1:15" ht="22.5" x14ac:dyDescent="0.4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</row>
    <row r="59" spans="1:15" ht="22.5" x14ac:dyDescent="0.4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</row>
    <row r="60" spans="1:15" ht="22.5" x14ac:dyDescent="0.4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</row>
  </sheetData>
  <mergeCells count="2">
    <mergeCell ref="A1:D1"/>
    <mergeCell ref="A2:O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03144-C436-4323-ADAF-BD1695B817AB}">
  <dimension ref="A1:D2"/>
  <sheetViews>
    <sheetView tabSelected="1" workbookViewId="0">
      <selection sqref="A1:D1"/>
    </sheetView>
  </sheetViews>
  <sheetFormatPr defaultRowHeight="15" x14ac:dyDescent="0.25"/>
  <sheetData>
    <row r="1" spans="1:4" x14ac:dyDescent="0.25">
      <c r="A1" s="33" t="s">
        <v>1</v>
      </c>
      <c r="B1" s="34">
        <f ca="1">TODAY()</f>
        <v>45255</v>
      </c>
      <c r="C1" s="33"/>
      <c r="D1" s="33"/>
    </row>
    <row r="2" spans="1:4" x14ac:dyDescent="0.25">
      <c r="A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O8"/>
  <sheetViews>
    <sheetView zoomScale="160" zoomScaleNormal="160" workbookViewId="0">
      <selection activeCell="I15" sqref="I15"/>
    </sheetView>
  </sheetViews>
  <sheetFormatPr defaultRowHeight="15" x14ac:dyDescent="0.25"/>
  <cols>
    <col min="1" max="1" width="17" bestFit="1" customWidth="1"/>
    <col min="2" max="2" width="13.42578125" bestFit="1" customWidth="1"/>
    <col min="3" max="3" width="12.42578125" bestFit="1" customWidth="1"/>
    <col min="4" max="4" width="13.42578125" bestFit="1" customWidth="1"/>
    <col min="5" max="5" width="12.42578125" bestFit="1" customWidth="1"/>
    <col min="6" max="6" width="13.42578125" bestFit="1" customWidth="1"/>
    <col min="7" max="7" width="12.42578125" bestFit="1" customWidth="1"/>
    <col min="8" max="8" width="13.42578125" bestFit="1" customWidth="1"/>
    <col min="9" max="9" width="12.42578125" bestFit="1" customWidth="1"/>
    <col min="10" max="10" width="15.28515625" bestFit="1" customWidth="1"/>
    <col min="11" max="11" width="16.42578125" bestFit="1" customWidth="1"/>
    <col min="12" max="12" width="12.28515625" bestFit="1" customWidth="1"/>
    <col min="13" max="13" width="13.140625" bestFit="1" customWidth="1"/>
    <col min="14" max="14" width="18.28515625" bestFit="1" customWidth="1"/>
    <col min="15" max="15" width="12.140625" customWidth="1"/>
  </cols>
  <sheetData>
    <row r="1" spans="1:15" ht="16.5" thickTop="1" thickBot="1" x14ac:dyDescent="0.3">
      <c r="A1" s="29" t="s">
        <v>62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1"/>
    </row>
    <row r="2" spans="1:15" ht="15.75" thickBot="1" x14ac:dyDescent="0.3">
      <c r="A2" s="12" t="s">
        <v>63</v>
      </c>
      <c r="B2" s="12" t="s">
        <v>64</v>
      </c>
      <c r="C2" s="12" t="s">
        <v>65</v>
      </c>
      <c r="D2" s="12" t="s">
        <v>66</v>
      </c>
      <c r="E2" s="12" t="s">
        <v>65</v>
      </c>
      <c r="F2" s="12" t="s">
        <v>67</v>
      </c>
      <c r="G2" s="12" t="s">
        <v>65</v>
      </c>
      <c r="H2" s="12" t="s">
        <v>68</v>
      </c>
      <c r="I2" s="12" t="s">
        <v>65</v>
      </c>
      <c r="J2" s="12" t="s">
        <v>69</v>
      </c>
      <c r="K2" s="12" t="s">
        <v>70</v>
      </c>
      <c r="L2" s="12" t="s">
        <v>71</v>
      </c>
      <c r="M2" s="12" t="s">
        <v>72</v>
      </c>
      <c r="N2" s="12" t="s">
        <v>73</v>
      </c>
      <c r="O2" s="12" t="s">
        <v>74</v>
      </c>
    </row>
    <row r="3" spans="1:15" ht="15.75" thickBot="1" x14ac:dyDescent="0.3">
      <c r="A3" s="13" t="s">
        <v>75</v>
      </c>
      <c r="B3" s="14">
        <v>4500</v>
      </c>
      <c r="C3" s="14">
        <f>B3*15%</f>
        <v>675</v>
      </c>
      <c r="D3" s="14">
        <v>3500</v>
      </c>
      <c r="E3" s="14">
        <f>D3*15%</f>
        <v>525</v>
      </c>
      <c r="F3" s="14">
        <v>4800</v>
      </c>
      <c r="G3" s="14">
        <f>F3*15%</f>
        <v>720</v>
      </c>
      <c r="H3" s="14">
        <v>4587</v>
      </c>
      <c r="I3" s="14">
        <f>H3*15%</f>
        <v>688.05</v>
      </c>
      <c r="J3" s="15">
        <f>SUM(B3,D3,F3,H3)</f>
        <v>17387</v>
      </c>
      <c r="K3" s="15">
        <f>AVERAGE(B3,D3,F3,H3)</f>
        <v>4346.75</v>
      </c>
      <c r="L3" s="15">
        <f>MAX(B3,D3,F3,H3)</f>
        <v>4800</v>
      </c>
      <c r="M3" s="15">
        <f>MIN(B3,D3,F3,H3)</f>
        <v>3500</v>
      </c>
      <c r="N3" s="15">
        <f>SUM(C3,E3,G3,I3)</f>
        <v>2608.0500000000002</v>
      </c>
      <c r="O3" s="16">
        <f>IF(J3&gt;20000,500,50)</f>
        <v>50</v>
      </c>
    </row>
    <row r="4" spans="1:15" ht="15.75" thickBot="1" x14ac:dyDescent="0.3">
      <c r="A4" s="17" t="s">
        <v>76</v>
      </c>
      <c r="B4" s="18">
        <v>5600</v>
      </c>
      <c r="C4" s="14">
        <f t="shared" ref="C4:C7" si="0">B4*15%</f>
        <v>840</v>
      </c>
      <c r="D4" s="18">
        <v>4800</v>
      </c>
      <c r="E4" s="14">
        <f t="shared" ref="E4:E7" si="1">D4*15%</f>
        <v>720</v>
      </c>
      <c r="F4" s="18">
        <v>5900</v>
      </c>
      <c r="G4" s="14">
        <f t="shared" ref="G4:G7" si="2">F4*15%</f>
        <v>885</v>
      </c>
      <c r="H4" s="18">
        <v>9500</v>
      </c>
      <c r="I4" s="14">
        <f t="shared" ref="I4:I7" si="3">H4*15%</f>
        <v>1425</v>
      </c>
      <c r="J4" s="15">
        <f t="shared" ref="J4:J7" si="4">SUM(B4,D4,F4,H4)</f>
        <v>25800</v>
      </c>
      <c r="K4" s="15">
        <f t="shared" ref="K4:K7" si="5">AVERAGE(B4,D4,F4,H4)</f>
        <v>6450</v>
      </c>
      <c r="L4" s="15">
        <f t="shared" ref="L4:L7" si="6">MAX(B4,D4,F4,H4)</f>
        <v>9500</v>
      </c>
      <c r="M4" s="15">
        <f t="shared" ref="M4:M7" si="7">MIN(B4,D4,F4,H4)</f>
        <v>4800</v>
      </c>
      <c r="N4" s="15">
        <f t="shared" ref="N4:N7" si="8">SUM(C4,E4,G4,I4)</f>
        <v>3870</v>
      </c>
      <c r="O4" s="16">
        <f t="shared" ref="O4:O7" si="9">IF(J4&gt;20000,500,50)</f>
        <v>500</v>
      </c>
    </row>
    <row r="5" spans="1:15" ht="15.75" thickBot="1" x14ac:dyDescent="0.3">
      <c r="A5" s="17" t="s">
        <v>77</v>
      </c>
      <c r="B5" s="18">
        <v>7800</v>
      </c>
      <c r="C5" s="14">
        <f t="shared" si="0"/>
        <v>1170</v>
      </c>
      <c r="D5" s="18">
        <v>1560</v>
      </c>
      <c r="E5" s="14">
        <f t="shared" si="1"/>
        <v>234</v>
      </c>
      <c r="F5" s="18">
        <v>7589</v>
      </c>
      <c r="G5" s="14">
        <f t="shared" si="2"/>
        <v>1138.3499999999999</v>
      </c>
      <c r="H5" s="18">
        <v>8643</v>
      </c>
      <c r="I5" s="14">
        <f t="shared" si="3"/>
        <v>1296.45</v>
      </c>
      <c r="J5" s="15">
        <f t="shared" si="4"/>
        <v>25592</v>
      </c>
      <c r="K5" s="15">
        <f t="shared" si="5"/>
        <v>6398</v>
      </c>
      <c r="L5" s="15">
        <f t="shared" si="6"/>
        <v>8643</v>
      </c>
      <c r="M5" s="15">
        <f t="shared" si="7"/>
        <v>1560</v>
      </c>
      <c r="N5" s="15">
        <f t="shared" si="8"/>
        <v>3838.8</v>
      </c>
      <c r="O5" s="16">
        <f t="shared" si="9"/>
        <v>500</v>
      </c>
    </row>
    <row r="6" spans="1:15" ht="15.75" thickBot="1" x14ac:dyDescent="0.3">
      <c r="A6" s="17" t="s">
        <v>78</v>
      </c>
      <c r="B6" s="18">
        <v>3500</v>
      </c>
      <c r="C6" s="14">
        <f t="shared" si="0"/>
        <v>525</v>
      </c>
      <c r="D6" s="18">
        <v>3500</v>
      </c>
      <c r="E6" s="14">
        <f t="shared" si="1"/>
        <v>525</v>
      </c>
      <c r="F6" s="18">
        <v>3569</v>
      </c>
      <c r="G6" s="14">
        <f t="shared" si="2"/>
        <v>535.35</v>
      </c>
      <c r="H6" s="18">
        <v>7500</v>
      </c>
      <c r="I6" s="14">
        <f t="shared" si="3"/>
        <v>1125</v>
      </c>
      <c r="J6" s="15">
        <f t="shared" si="4"/>
        <v>18069</v>
      </c>
      <c r="K6" s="15">
        <f t="shared" si="5"/>
        <v>4517.25</v>
      </c>
      <c r="L6" s="15">
        <f t="shared" si="6"/>
        <v>7500</v>
      </c>
      <c r="M6" s="15">
        <f t="shared" si="7"/>
        <v>3500</v>
      </c>
      <c r="N6" s="15">
        <f t="shared" si="8"/>
        <v>2710.35</v>
      </c>
      <c r="O6" s="16">
        <f t="shared" si="9"/>
        <v>50</v>
      </c>
    </row>
    <row r="7" spans="1:15" x14ac:dyDescent="0.25">
      <c r="A7" s="17" t="s">
        <v>79</v>
      </c>
      <c r="B7" s="18">
        <v>4900</v>
      </c>
      <c r="C7" s="14">
        <f t="shared" si="0"/>
        <v>735</v>
      </c>
      <c r="D7" s="18">
        <v>9850</v>
      </c>
      <c r="E7" s="14">
        <f t="shared" si="1"/>
        <v>1477.5</v>
      </c>
      <c r="F7" s="18">
        <v>1800</v>
      </c>
      <c r="G7" s="14">
        <f t="shared" si="2"/>
        <v>270</v>
      </c>
      <c r="H7" s="18">
        <v>6800</v>
      </c>
      <c r="I7" s="14">
        <f t="shared" si="3"/>
        <v>1020</v>
      </c>
      <c r="J7" s="15">
        <f t="shared" si="4"/>
        <v>23350</v>
      </c>
      <c r="K7" s="15">
        <f t="shared" si="5"/>
        <v>5837.5</v>
      </c>
      <c r="L7" s="15">
        <f t="shared" si="6"/>
        <v>9850</v>
      </c>
      <c r="M7" s="15">
        <f t="shared" si="7"/>
        <v>1800</v>
      </c>
      <c r="N7" s="15">
        <f t="shared" si="8"/>
        <v>3502.5</v>
      </c>
      <c r="O7" s="16">
        <f t="shared" si="9"/>
        <v>500</v>
      </c>
    </row>
    <row r="8" spans="1:15" ht="15.75" thickBot="1" x14ac:dyDescent="0.3">
      <c r="A8" s="19" t="s">
        <v>80</v>
      </c>
      <c r="B8" s="20">
        <f t="shared" ref="B8:J8" si="10">SUM(B3:B7)</f>
        <v>26300</v>
      </c>
      <c r="C8" s="20">
        <f t="shared" si="10"/>
        <v>3945</v>
      </c>
      <c r="D8" s="20">
        <f t="shared" si="10"/>
        <v>23210</v>
      </c>
      <c r="E8" s="20">
        <f t="shared" si="10"/>
        <v>3481.5</v>
      </c>
      <c r="F8" s="20">
        <f t="shared" si="10"/>
        <v>23658</v>
      </c>
      <c r="G8" s="20">
        <f t="shared" si="10"/>
        <v>3548.7</v>
      </c>
      <c r="H8" s="20">
        <f t="shared" si="10"/>
        <v>37030</v>
      </c>
      <c r="I8" s="20">
        <f t="shared" si="10"/>
        <v>5554.5</v>
      </c>
      <c r="J8" s="20">
        <f t="shared" si="10"/>
        <v>110198</v>
      </c>
      <c r="K8" s="21" t="s">
        <v>81</v>
      </c>
      <c r="L8" s="21" t="s">
        <v>81</v>
      </c>
      <c r="M8" s="21" t="s">
        <v>81</v>
      </c>
      <c r="N8" s="22">
        <f>SUM(N3:N7)</f>
        <v>16529.7</v>
      </c>
      <c r="O8" s="23">
        <f>SUM(O3:O7)</f>
        <v>1600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28"/>
  <sheetViews>
    <sheetView zoomScale="115" zoomScaleNormal="115" workbookViewId="0">
      <selection activeCell="B3" sqref="B3:E17"/>
    </sheetView>
  </sheetViews>
  <sheetFormatPr defaultRowHeight="15" x14ac:dyDescent="0.25"/>
  <cols>
    <col min="1" max="3" width="20.7109375" customWidth="1"/>
    <col min="4" max="4" width="26.7109375" customWidth="1"/>
    <col min="5" max="5" width="20.7109375" style="1" customWidth="1"/>
  </cols>
  <sheetData>
    <row r="1" spans="1:6" x14ac:dyDescent="0.25">
      <c r="A1" s="2" t="s">
        <v>36</v>
      </c>
      <c r="B1" s="2">
        <f ca="1">TODAY()</f>
        <v>45255</v>
      </c>
    </row>
    <row r="2" spans="1:6" x14ac:dyDescent="0.25">
      <c r="A2" s="32" t="s">
        <v>37</v>
      </c>
      <c r="B2" s="32"/>
      <c r="C2" s="32"/>
      <c r="D2" s="32"/>
      <c r="E2" s="32"/>
    </row>
    <row r="3" spans="1:6" x14ac:dyDescent="0.25">
      <c r="A3" s="5" t="s">
        <v>2</v>
      </c>
      <c r="B3" s="5" t="s">
        <v>38</v>
      </c>
      <c r="C3" s="5" t="s">
        <v>39</v>
      </c>
      <c r="D3" s="5" t="s">
        <v>40</v>
      </c>
      <c r="E3" s="6" t="s">
        <v>41</v>
      </c>
      <c r="F3" s="7" t="s">
        <v>42</v>
      </c>
    </row>
    <row r="4" spans="1:6" x14ac:dyDescent="0.25">
      <c r="A4" s="5" t="s">
        <v>43</v>
      </c>
      <c r="B4" s="5" t="s">
        <v>44</v>
      </c>
      <c r="C4" s="5" t="s">
        <v>45</v>
      </c>
      <c r="D4" s="5" t="s">
        <v>46</v>
      </c>
      <c r="E4" s="6">
        <v>790</v>
      </c>
    </row>
    <row r="5" spans="1:6" x14ac:dyDescent="0.25">
      <c r="A5" s="5" t="s">
        <v>47</v>
      </c>
      <c r="B5" s="5" t="s">
        <v>48</v>
      </c>
      <c r="C5" s="5" t="s">
        <v>45</v>
      </c>
      <c r="D5" s="5" t="s">
        <v>49</v>
      </c>
      <c r="E5" s="6">
        <v>650</v>
      </c>
    </row>
    <row r="6" spans="1:6" x14ac:dyDescent="0.25">
      <c r="A6" s="5" t="s">
        <v>50</v>
      </c>
      <c r="B6" s="5" t="s">
        <v>44</v>
      </c>
      <c r="C6" s="5" t="s">
        <v>51</v>
      </c>
      <c r="D6" s="5" t="s">
        <v>46</v>
      </c>
      <c r="E6" s="6">
        <v>495</v>
      </c>
    </row>
    <row r="7" spans="1:6" x14ac:dyDescent="0.25">
      <c r="A7" s="5" t="s">
        <v>52</v>
      </c>
      <c r="B7" s="5" t="s">
        <v>48</v>
      </c>
      <c r="C7" s="5" t="s">
        <v>51</v>
      </c>
      <c r="D7" s="5" t="s">
        <v>49</v>
      </c>
      <c r="E7" s="6">
        <v>580</v>
      </c>
    </row>
    <row r="8" spans="1:6" x14ac:dyDescent="0.25">
      <c r="A8" s="5" t="s">
        <v>53</v>
      </c>
      <c r="B8" s="5" t="s">
        <v>44</v>
      </c>
      <c r="C8" s="5" t="s">
        <v>45</v>
      </c>
      <c r="D8" s="5" t="s">
        <v>49</v>
      </c>
      <c r="E8" s="6">
        <v>710</v>
      </c>
    </row>
    <row r="9" spans="1:6" x14ac:dyDescent="0.25">
      <c r="A9" s="5" t="s">
        <v>54</v>
      </c>
      <c r="B9" s="5" t="s">
        <v>55</v>
      </c>
      <c r="C9" s="5" t="s">
        <v>45</v>
      </c>
      <c r="D9" s="5" t="s">
        <v>46</v>
      </c>
      <c r="E9" s="6">
        <v>1200</v>
      </c>
    </row>
    <row r="10" spans="1:6" x14ac:dyDescent="0.25">
      <c r="A10" s="5" t="s">
        <v>56</v>
      </c>
      <c r="B10" s="5" t="s">
        <v>55</v>
      </c>
      <c r="C10" s="5" t="s">
        <v>45</v>
      </c>
      <c r="D10" s="5" t="s">
        <v>49</v>
      </c>
      <c r="E10" s="6">
        <v>1100</v>
      </c>
    </row>
    <row r="11" spans="1:6" x14ac:dyDescent="0.25">
      <c r="A11" s="5" t="s">
        <v>57</v>
      </c>
      <c r="B11" s="5" t="s">
        <v>44</v>
      </c>
      <c r="C11" s="5" t="s">
        <v>51</v>
      </c>
      <c r="D11" s="5" t="s">
        <v>49</v>
      </c>
      <c r="E11" s="6">
        <v>1500</v>
      </c>
    </row>
    <row r="12" spans="1:6" x14ac:dyDescent="0.25">
      <c r="A12" s="5" t="s">
        <v>58</v>
      </c>
      <c r="B12" s="5" t="s">
        <v>48</v>
      </c>
      <c r="C12" s="5" t="s">
        <v>59</v>
      </c>
      <c r="D12" s="5" t="s">
        <v>46</v>
      </c>
      <c r="E12" s="6">
        <v>460</v>
      </c>
    </row>
    <row r="13" spans="1:6" x14ac:dyDescent="0.25">
      <c r="A13" s="5" t="s">
        <v>60</v>
      </c>
      <c r="B13" s="5" t="s">
        <v>55</v>
      </c>
      <c r="C13" s="5" t="s">
        <v>59</v>
      </c>
      <c r="D13" s="5" t="s">
        <v>46</v>
      </c>
      <c r="E13" s="6">
        <v>590</v>
      </c>
    </row>
    <row r="14" spans="1:6" x14ac:dyDescent="0.25">
      <c r="A14" s="5" t="s">
        <v>43</v>
      </c>
      <c r="B14" s="5" t="s">
        <v>55</v>
      </c>
      <c r="C14" s="5" t="s">
        <v>59</v>
      </c>
      <c r="D14" s="5" t="s">
        <v>49</v>
      </c>
      <c r="E14" s="6">
        <v>700</v>
      </c>
    </row>
    <row r="15" spans="1:6" x14ac:dyDescent="0.25">
      <c r="A15" s="5" t="s">
        <v>61</v>
      </c>
      <c r="B15" s="5" t="s">
        <v>48</v>
      </c>
      <c r="C15" s="5" t="s">
        <v>59</v>
      </c>
      <c r="D15" s="5" t="s">
        <v>49</v>
      </c>
      <c r="E15" s="6">
        <v>345</v>
      </c>
    </row>
    <row r="16" spans="1:6" x14ac:dyDescent="0.25">
      <c r="A16" s="5" t="s">
        <v>54</v>
      </c>
      <c r="B16" s="5" t="s">
        <v>55</v>
      </c>
      <c r="C16" s="5" t="s">
        <v>51</v>
      </c>
      <c r="D16" s="5" t="s">
        <v>49</v>
      </c>
      <c r="E16" s="6">
        <v>280</v>
      </c>
    </row>
    <row r="17" spans="1:5" x14ac:dyDescent="0.25">
      <c r="A17" s="5" t="s">
        <v>50</v>
      </c>
      <c r="B17" s="5" t="s">
        <v>44</v>
      </c>
      <c r="C17" s="5" t="s">
        <v>59</v>
      </c>
      <c r="D17" s="5" t="s">
        <v>46</v>
      </c>
      <c r="E17" s="6">
        <v>543</v>
      </c>
    </row>
    <row r="19" spans="1:5" x14ac:dyDescent="0.25">
      <c r="A19" s="8"/>
    </row>
    <row r="20" spans="1:5" x14ac:dyDescent="0.25">
      <c r="A20" s="8"/>
      <c r="D20" s="1"/>
    </row>
    <row r="21" spans="1:5" x14ac:dyDescent="0.25">
      <c r="A21" s="8"/>
      <c r="D21" s="1"/>
    </row>
    <row r="22" spans="1:5" x14ac:dyDescent="0.25">
      <c r="A22" s="8"/>
      <c r="D22" s="1"/>
    </row>
    <row r="23" spans="1:5" x14ac:dyDescent="0.25">
      <c r="A23" s="8"/>
      <c r="D23" s="1"/>
    </row>
    <row r="24" spans="1:5" x14ac:dyDescent="0.25">
      <c r="A24" s="8"/>
      <c r="D24" s="1"/>
    </row>
    <row r="25" spans="1:5" x14ac:dyDescent="0.25">
      <c r="A25" s="9"/>
      <c r="B25" s="10"/>
      <c r="D25" s="11"/>
    </row>
    <row r="26" spans="1:5" x14ac:dyDescent="0.25">
      <c r="A26" s="8"/>
      <c r="D26" s="1"/>
    </row>
    <row r="27" spans="1:5" x14ac:dyDescent="0.25">
      <c r="A27" s="8"/>
    </row>
    <row r="28" spans="1:5" x14ac:dyDescent="0.25">
      <c r="A28" s="8"/>
    </row>
  </sheetData>
  <mergeCells count="1">
    <mergeCell ref="A2:E2"/>
  </mergeCells>
  <dataValidations count="1">
    <dataValidation type="list" allowBlank="1" showInputMessage="1" showErrorMessage="1" sqref="E20" xr:uid="{00000000-0002-0000-0200-000000000000}">
      <formula1>produto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21"/>
  <sheetViews>
    <sheetView zoomScale="115" zoomScaleNormal="115" workbookViewId="0">
      <selection activeCell="H4" sqref="H4"/>
    </sheetView>
  </sheetViews>
  <sheetFormatPr defaultRowHeight="15" x14ac:dyDescent="0.25"/>
  <cols>
    <col min="1" max="1" width="38.85546875" bestFit="1" customWidth="1"/>
    <col min="2" max="2" width="11.85546875" bestFit="1" customWidth="1"/>
    <col min="3" max="3" width="11.5703125" bestFit="1" customWidth="1"/>
    <col min="4" max="4" width="10.140625" style="1" bestFit="1" customWidth="1"/>
    <col min="5" max="5" width="11.42578125" bestFit="1" customWidth="1"/>
    <col min="6" max="6" width="26.5703125" bestFit="1" customWidth="1"/>
    <col min="7" max="7" width="12.85546875" bestFit="1" customWidth="1"/>
  </cols>
  <sheetData>
    <row r="1" spans="1:7" x14ac:dyDescent="0.25">
      <c r="A1" t="s">
        <v>0</v>
      </c>
    </row>
    <row r="2" spans="1:7" x14ac:dyDescent="0.25">
      <c r="A2" t="s">
        <v>1</v>
      </c>
      <c r="B2" s="2">
        <f ca="1">TODAY()</f>
        <v>45255</v>
      </c>
    </row>
    <row r="3" spans="1:7" x14ac:dyDescent="0.25">
      <c r="A3" s="3" t="s">
        <v>2</v>
      </c>
      <c r="B3" s="3" t="s">
        <v>3</v>
      </c>
      <c r="C3" t="s">
        <v>4</v>
      </c>
      <c r="D3" s="1" t="s">
        <v>5</v>
      </c>
      <c r="E3" t="s">
        <v>6</v>
      </c>
      <c r="F3" t="s">
        <v>7</v>
      </c>
      <c r="G3" t="s">
        <v>8</v>
      </c>
    </row>
    <row r="4" spans="1:7" x14ac:dyDescent="0.25">
      <c r="A4" t="s">
        <v>9</v>
      </c>
      <c r="B4" t="s">
        <v>10</v>
      </c>
      <c r="C4" s="2">
        <v>44936</v>
      </c>
      <c r="D4" s="1">
        <v>5</v>
      </c>
      <c r="E4">
        <v>150</v>
      </c>
      <c r="F4" t="s">
        <v>11</v>
      </c>
      <c r="G4" s="4">
        <f>D4*E4</f>
        <v>750</v>
      </c>
    </row>
    <row r="5" spans="1:7" x14ac:dyDescent="0.25">
      <c r="A5" t="s">
        <v>12</v>
      </c>
      <c r="B5" t="s">
        <v>13</v>
      </c>
      <c r="C5" s="2">
        <v>45051</v>
      </c>
      <c r="D5" s="1">
        <v>6</v>
      </c>
      <c r="E5">
        <v>30</v>
      </c>
      <c r="F5" t="s">
        <v>14</v>
      </c>
      <c r="G5" s="4">
        <f t="shared" ref="G5:G21" si="0">D5*E5</f>
        <v>180</v>
      </c>
    </row>
    <row r="6" spans="1:7" x14ac:dyDescent="0.25">
      <c r="A6" t="s">
        <v>15</v>
      </c>
      <c r="B6" t="s">
        <v>13</v>
      </c>
      <c r="C6" s="2">
        <v>44958</v>
      </c>
      <c r="D6" s="1">
        <v>8</v>
      </c>
      <c r="E6">
        <v>50</v>
      </c>
      <c r="F6" t="s">
        <v>14</v>
      </c>
      <c r="G6" s="4">
        <f t="shared" si="0"/>
        <v>400</v>
      </c>
    </row>
    <row r="7" spans="1:7" x14ac:dyDescent="0.25">
      <c r="A7" t="s">
        <v>16</v>
      </c>
      <c r="B7" t="s">
        <v>13</v>
      </c>
      <c r="C7" s="2">
        <v>45092</v>
      </c>
      <c r="D7" s="1">
        <v>3.99</v>
      </c>
      <c r="E7">
        <v>100</v>
      </c>
      <c r="F7" t="s">
        <v>17</v>
      </c>
      <c r="G7" s="4">
        <f t="shared" si="0"/>
        <v>399</v>
      </c>
    </row>
    <row r="8" spans="1:7" x14ac:dyDescent="0.25">
      <c r="A8" t="s">
        <v>18</v>
      </c>
      <c r="B8" t="s">
        <v>13</v>
      </c>
      <c r="C8" s="2">
        <v>45107</v>
      </c>
      <c r="D8" s="1">
        <v>3.89</v>
      </c>
      <c r="E8">
        <v>100</v>
      </c>
      <c r="F8" t="s">
        <v>17</v>
      </c>
      <c r="G8" s="4">
        <f t="shared" si="0"/>
        <v>389</v>
      </c>
    </row>
    <row r="9" spans="1:7" x14ac:dyDescent="0.25">
      <c r="A9" t="s">
        <v>19</v>
      </c>
      <c r="B9" t="s">
        <v>13</v>
      </c>
      <c r="C9" s="2">
        <v>44844</v>
      </c>
      <c r="D9" s="1">
        <v>4.9000000000000004</v>
      </c>
      <c r="E9">
        <v>50</v>
      </c>
      <c r="F9" t="s">
        <v>17</v>
      </c>
      <c r="G9" s="4">
        <f t="shared" si="0"/>
        <v>245.00000000000003</v>
      </c>
    </row>
    <row r="10" spans="1:7" x14ac:dyDescent="0.25">
      <c r="A10" t="s">
        <v>20</v>
      </c>
      <c r="B10" t="s">
        <v>13</v>
      </c>
      <c r="C10" s="2">
        <v>44880</v>
      </c>
      <c r="D10" s="1">
        <v>5.2</v>
      </c>
      <c r="E10">
        <v>50</v>
      </c>
      <c r="F10" t="s">
        <v>17</v>
      </c>
      <c r="G10" s="4">
        <f t="shared" si="0"/>
        <v>260</v>
      </c>
    </row>
    <row r="11" spans="1:7" x14ac:dyDescent="0.25">
      <c r="A11" t="s">
        <v>21</v>
      </c>
      <c r="B11" t="s">
        <v>22</v>
      </c>
      <c r="C11" s="2">
        <v>44880</v>
      </c>
      <c r="D11" s="1">
        <v>23</v>
      </c>
      <c r="E11">
        <v>120</v>
      </c>
      <c r="F11" t="s">
        <v>17</v>
      </c>
      <c r="G11" s="4">
        <f t="shared" si="0"/>
        <v>2760</v>
      </c>
    </row>
    <row r="12" spans="1:7" x14ac:dyDescent="0.25">
      <c r="A12" t="s">
        <v>18</v>
      </c>
      <c r="B12" t="s">
        <v>22</v>
      </c>
      <c r="C12" s="2">
        <v>45151</v>
      </c>
      <c r="D12" s="1">
        <v>15</v>
      </c>
      <c r="E12">
        <v>60</v>
      </c>
      <c r="F12" t="s">
        <v>17</v>
      </c>
      <c r="G12" s="4">
        <f t="shared" si="0"/>
        <v>900</v>
      </c>
    </row>
    <row r="13" spans="1:7" x14ac:dyDescent="0.25">
      <c r="A13" t="s">
        <v>23</v>
      </c>
      <c r="B13" t="s">
        <v>24</v>
      </c>
      <c r="C13" s="2">
        <v>45337</v>
      </c>
      <c r="D13" s="1">
        <v>8</v>
      </c>
      <c r="E13">
        <v>200</v>
      </c>
      <c r="F13" t="s">
        <v>14</v>
      </c>
      <c r="G13" s="4">
        <f t="shared" si="0"/>
        <v>1600</v>
      </c>
    </row>
    <row r="14" spans="1:7" x14ac:dyDescent="0.25">
      <c r="A14" t="s">
        <v>25</v>
      </c>
      <c r="B14" t="s">
        <v>24</v>
      </c>
      <c r="C14" s="2">
        <v>45463</v>
      </c>
      <c r="D14" s="1">
        <v>8</v>
      </c>
      <c r="E14">
        <v>200</v>
      </c>
      <c r="F14" t="s">
        <v>14</v>
      </c>
      <c r="G14" s="4">
        <f t="shared" si="0"/>
        <v>1600</v>
      </c>
    </row>
    <row r="15" spans="1:7" x14ac:dyDescent="0.25">
      <c r="A15" t="s">
        <v>26</v>
      </c>
      <c r="B15" t="s">
        <v>24</v>
      </c>
      <c r="C15" s="2">
        <v>45626</v>
      </c>
      <c r="D15" s="1">
        <v>7</v>
      </c>
      <c r="E15">
        <v>150</v>
      </c>
      <c r="F15" t="s">
        <v>14</v>
      </c>
      <c r="G15" s="4">
        <f t="shared" si="0"/>
        <v>1050</v>
      </c>
    </row>
    <row r="16" spans="1:7" x14ac:dyDescent="0.25">
      <c r="A16" t="s">
        <v>27</v>
      </c>
      <c r="B16" t="s">
        <v>10</v>
      </c>
      <c r="C16" s="2">
        <v>44936</v>
      </c>
      <c r="D16" s="1">
        <v>3.5</v>
      </c>
      <c r="E16">
        <v>100</v>
      </c>
      <c r="F16" t="s">
        <v>11</v>
      </c>
      <c r="G16" s="4">
        <f t="shared" si="0"/>
        <v>350</v>
      </c>
    </row>
    <row r="17" spans="1:7" x14ac:dyDescent="0.25">
      <c r="A17" t="s">
        <v>28</v>
      </c>
      <c r="B17" t="s">
        <v>10</v>
      </c>
      <c r="C17" s="2">
        <v>45000</v>
      </c>
      <c r="D17" s="1">
        <v>3.99</v>
      </c>
      <c r="E17">
        <v>150</v>
      </c>
      <c r="F17" t="s">
        <v>29</v>
      </c>
      <c r="G17" s="4">
        <f t="shared" si="0"/>
        <v>598.5</v>
      </c>
    </row>
    <row r="18" spans="1:7" x14ac:dyDescent="0.25">
      <c r="A18" t="s">
        <v>30</v>
      </c>
      <c r="B18" t="s">
        <v>10</v>
      </c>
      <c r="C18" s="2">
        <v>45046</v>
      </c>
      <c r="D18" s="1">
        <v>2.99</v>
      </c>
      <c r="E18">
        <v>200</v>
      </c>
      <c r="F18" t="s">
        <v>29</v>
      </c>
      <c r="G18" s="4">
        <f t="shared" si="0"/>
        <v>598</v>
      </c>
    </row>
    <row r="19" spans="1:7" x14ac:dyDescent="0.25">
      <c r="A19" t="s">
        <v>31</v>
      </c>
      <c r="B19" t="s">
        <v>32</v>
      </c>
      <c r="C19" s="2">
        <v>45153</v>
      </c>
      <c r="D19" s="1">
        <v>7.2</v>
      </c>
      <c r="E19">
        <v>100</v>
      </c>
      <c r="F19" t="s">
        <v>29</v>
      </c>
      <c r="G19" s="4">
        <f t="shared" si="0"/>
        <v>720</v>
      </c>
    </row>
    <row r="20" spans="1:7" x14ac:dyDescent="0.25">
      <c r="A20" t="s">
        <v>33</v>
      </c>
      <c r="B20" t="s">
        <v>32</v>
      </c>
      <c r="C20" s="2">
        <v>45208</v>
      </c>
      <c r="D20" s="1">
        <v>6.5</v>
      </c>
      <c r="E20">
        <v>120</v>
      </c>
      <c r="F20" t="s">
        <v>29</v>
      </c>
      <c r="G20" s="4">
        <f t="shared" si="0"/>
        <v>780</v>
      </c>
    </row>
    <row r="21" spans="1:7" x14ac:dyDescent="0.25">
      <c r="A21" t="s">
        <v>34</v>
      </c>
      <c r="B21" t="s">
        <v>35</v>
      </c>
      <c r="C21" s="2">
        <v>45366</v>
      </c>
      <c r="D21" s="1">
        <v>8</v>
      </c>
      <c r="E21">
        <v>90</v>
      </c>
      <c r="F21" t="s">
        <v>11</v>
      </c>
      <c r="G21" s="4">
        <f t="shared" si="0"/>
        <v>720</v>
      </c>
    </row>
  </sheetData>
  <scenarios current="0" show="0">
    <scenario name="aumento" locked="1" count="1" user="nig3" comment="Criado por nig3 em 13/08/2022_x000a_Alterado por nig3 em 13/08/2022">
      <inputCells r="D4" val="6" numFmtId="44"/>
    </scenario>
  </scenario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O60"/>
  <sheetViews>
    <sheetView workbookViewId="0">
      <selection sqref="A1:O60"/>
    </sheetView>
  </sheetViews>
  <sheetFormatPr defaultRowHeight="15" x14ac:dyDescent="0.25"/>
  <cols>
    <col min="2" max="2" width="10.7109375" bestFit="1" customWidth="1"/>
    <col min="5" max="5" width="18.140625" bestFit="1" customWidth="1"/>
  </cols>
  <sheetData>
    <row r="1" spans="1:15" ht="22.5" x14ac:dyDescent="0.45">
      <c r="A1" s="27" t="s">
        <v>1</v>
      </c>
      <c r="B1" s="27"/>
      <c r="C1" s="27"/>
      <c r="D1" s="27"/>
      <c r="E1" s="24">
        <f ca="1">TODAY()</f>
        <v>45255</v>
      </c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1:15" ht="22.5" x14ac:dyDescent="0.45">
      <c r="A2" s="28" t="s">
        <v>82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</row>
    <row r="3" spans="1:15" ht="22.5" x14ac:dyDescent="0.4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</row>
    <row r="4" spans="1:15" ht="22.5" x14ac:dyDescent="0.4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</row>
    <row r="5" spans="1:15" ht="22.5" x14ac:dyDescent="0.4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</row>
    <row r="6" spans="1:15" ht="22.5" x14ac:dyDescent="0.4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</row>
    <row r="7" spans="1:15" ht="22.5" x14ac:dyDescent="0.4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</row>
    <row r="8" spans="1:15" ht="22.5" x14ac:dyDescent="0.4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</row>
    <row r="9" spans="1:15" ht="22.5" x14ac:dyDescent="0.4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</row>
    <row r="10" spans="1:15" ht="22.5" x14ac:dyDescent="0.4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</row>
    <row r="11" spans="1:15" ht="22.5" x14ac:dyDescent="0.4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</row>
    <row r="12" spans="1:15" ht="22.5" x14ac:dyDescent="0.4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</row>
    <row r="13" spans="1:15" ht="22.5" x14ac:dyDescent="0.4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</row>
    <row r="14" spans="1:15" ht="22.5" x14ac:dyDescent="0.4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</row>
    <row r="15" spans="1:15" ht="22.5" x14ac:dyDescent="0.4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15" ht="22.5" x14ac:dyDescent="0.4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1:15" ht="22.5" x14ac:dyDescent="0.4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1:15" ht="22.5" x14ac:dyDescent="0.4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1:15" ht="22.5" x14ac:dyDescent="0.4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</row>
    <row r="20" spans="1:15" ht="22.5" x14ac:dyDescent="0.4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</row>
    <row r="21" spans="1:15" ht="22.5" x14ac:dyDescent="0.4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1:15" ht="22.5" x14ac:dyDescent="0.4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1:15" ht="22.5" x14ac:dyDescent="0.4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1:15" ht="22.5" x14ac:dyDescent="0.4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1:15" ht="22.5" x14ac:dyDescent="0.4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6" spans="1:15" ht="22.5" x14ac:dyDescent="0.4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</row>
    <row r="27" spans="1:15" ht="22.5" x14ac:dyDescent="0.4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</row>
    <row r="28" spans="1:15" ht="22.5" x14ac:dyDescent="0.4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</row>
    <row r="29" spans="1:15" ht="22.5" x14ac:dyDescent="0.4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</row>
    <row r="30" spans="1:15" ht="22.5" x14ac:dyDescent="0.4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1:15" ht="22.5" x14ac:dyDescent="0.4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</row>
    <row r="32" spans="1:15" ht="22.5" x14ac:dyDescent="0.4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</row>
    <row r="33" spans="1:15" ht="22.5" x14ac:dyDescent="0.4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</row>
    <row r="34" spans="1:15" ht="22.5" x14ac:dyDescent="0.4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</row>
    <row r="35" spans="1:15" ht="22.5" x14ac:dyDescent="0.4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</row>
    <row r="36" spans="1:15" ht="22.5" x14ac:dyDescent="0.4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</row>
    <row r="37" spans="1:15" ht="22.5" x14ac:dyDescent="0.4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</row>
    <row r="38" spans="1:15" ht="22.5" x14ac:dyDescent="0.4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</row>
    <row r="39" spans="1:15" ht="22.5" x14ac:dyDescent="0.4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</row>
    <row r="40" spans="1:15" ht="22.5" x14ac:dyDescent="0.4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</row>
    <row r="41" spans="1:15" ht="22.5" x14ac:dyDescent="0.4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</row>
    <row r="42" spans="1:15" ht="22.5" x14ac:dyDescent="0.4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</row>
    <row r="43" spans="1:15" ht="22.5" x14ac:dyDescent="0.4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</row>
    <row r="44" spans="1:15" ht="22.5" x14ac:dyDescent="0.4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</row>
    <row r="45" spans="1:15" ht="22.5" x14ac:dyDescent="0.4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</row>
    <row r="46" spans="1:15" ht="22.5" x14ac:dyDescent="0.4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</row>
    <row r="47" spans="1:15" ht="22.5" x14ac:dyDescent="0.4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</row>
    <row r="48" spans="1:15" ht="22.5" x14ac:dyDescent="0.4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</row>
    <row r="49" spans="1:15" ht="22.5" x14ac:dyDescent="0.4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</row>
    <row r="50" spans="1:15" ht="22.5" x14ac:dyDescent="0.4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</row>
    <row r="51" spans="1:15" ht="22.5" x14ac:dyDescent="0.4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</row>
    <row r="52" spans="1:15" ht="22.5" x14ac:dyDescent="0.4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</row>
    <row r="53" spans="1:15" ht="22.5" x14ac:dyDescent="0.4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</row>
    <row r="54" spans="1:15" ht="22.5" x14ac:dyDescent="0.4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</row>
    <row r="55" spans="1:15" ht="22.5" x14ac:dyDescent="0.4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1:15" ht="22.5" x14ac:dyDescent="0.4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</row>
    <row r="57" spans="1:15" ht="22.5" x14ac:dyDescent="0.4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</row>
    <row r="58" spans="1:15" ht="22.5" x14ac:dyDescent="0.4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</row>
    <row r="59" spans="1:15" ht="22.5" x14ac:dyDescent="0.4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</row>
    <row r="60" spans="1:15" ht="22.5" x14ac:dyDescent="0.4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</row>
  </sheetData>
  <mergeCells count="2">
    <mergeCell ref="A1:D1"/>
    <mergeCell ref="A2:O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52B845-B55B-44CF-B554-A40DC9ED09D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</vt:i4>
      </vt:variant>
    </vt:vector>
  </HeadingPairs>
  <TitlesOfParts>
    <vt:vector size="12" baseType="lpstr">
      <vt:lpstr>Principal</vt:lpstr>
      <vt:lpstr>Planilha1</vt:lpstr>
      <vt:lpstr>Vendedores</vt:lpstr>
      <vt:lpstr>Multimarcas</vt:lpstr>
      <vt:lpstr>Alimentos</vt:lpstr>
      <vt:lpstr>Modelo</vt:lpstr>
      <vt:lpstr>loja</vt:lpstr>
      <vt:lpstr>marca</vt:lpstr>
      <vt:lpstr>prod</vt:lpstr>
      <vt:lpstr>produto</vt:lpstr>
      <vt:lpstr>valor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nig3</dc:creator>
  <cp:lastModifiedBy>FATIMA BRITO DA SILVA MELO</cp:lastModifiedBy>
  <dcterms:created xsi:type="dcterms:W3CDTF">2022-08-13T12:36:56Z</dcterms:created>
  <dcterms:modified xsi:type="dcterms:W3CDTF">2023-11-25T05:16:56Z</dcterms:modified>
</cp:coreProperties>
</file>